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grant_2026\assumption_checking\"/>
    </mc:Choice>
  </mc:AlternateContent>
  <xr:revisionPtr revIDLastSave="0" documentId="13_ncr:1_{61C95EF8-2A56-4F43-9036-1B8B828FDC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N_RI" sheetId="1" r:id="rId1"/>
    <sheet name="CHN_PR" sheetId="2" r:id="rId2"/>
    <sheet name="STH_RI" sheetId="3" r:id="rId3"/>
    <sheet name="STH_P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1" l="1"/>
  <c r="W20" i="1"/>
  <c r="W21" i="1"/>
  <c r="W22" i="1"/>
  <c r="W23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N18" i="1"/>
  <c r="M18" i="1"/>
  <c r="L18" i="1"/>
  <c r="W18" i="1"/>
  <c r="X18" i="1"/>
  <c r="U18" i="1"/>
  <c r="T18" i="1"/>
  <c r="S18" i="1"/>
  <c r="R18" i="1"/>
  <c r="U20" i="1"/>
  <c r="X20" i="1" s="1"/>
  <c r="U21" i="1"/>
  <c r="X21" i="1" s="1"/>
  <c r="U22" i="1"/>
  <c r="X22" i="1" s="1"/>
  <c r="U23" i="1"/>
  <c r="X23" i="1" s="1"/>
  <c r="R19" i="1"/>
  <c r="U19" i="1" s="1"/>
  <c r="X19" i="1" s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K19" i="1"/>
  <c r="K20" i="1"/>
  <c r="K21" i="1"/>
  <c r="K22" i="1"/>
  <c r="K23" i="1"/>
  <c r="K18" i="1"/>
  <c r="O23" i="1" l="1"/>
  <c r="Q23" i="1" s="1"/>
  <c r="Y23" i="1" s="1"/>
  <c r="O18" i="1"/>
  <c r="Q18" i="1" s="1"/>
  <c r="Y18" i="1" s="1"/>
  <c r="O19" i="1" l="1"/>
  <c r="Q19" i="1" s="1"/>
  <c r="Y19" i="1" s="1"/>
  <c r="O20" i="1"/>
  <c r="Q20" i="1" s="1"/>
  <c r="Y20" i="1" s="1"/>
  <c r="O21" i="1"/>
  <c r="Q21" i="1" s="1"/>
  <c r="Y21" i="1" s="1"/>
  <c r="O22" i="1"/>
  <c r="Q22" i="1" s="1"/>
  <c r="Y22" i="1" s="1"/>
</calcChain>
</file>

<file path=xl/sharedStrings.xml><?xml version="1.0" encoding="utf-8"?>
<sst xmlns="http://schemas.openxmlformats.org/spreadsheetml/2006/main" count="189" uniqueCount="111">
  <si>
    <t>SPP: CHN ; release: RI</t>
  </si>
  <si>
    <t>Tagger A</t>
  </si>
  <si>
    <t>Tagger B</t>
  </si>
  <si>
    <t>Tagger C</t>
  </si>
  <si>
    <t>1 1 1 1 1 1 1: 240</t>
  </si>
  <si>
    <t>1 1 1 1 1 1 1: 211</t>
  </si>
  <si>
    <t>1 1 1 1 1 1 1: 232</t>
  </si>
  <si>
    <t>1 1 1 1 1 1 0:   1</t>
  </si>
  <si>
    <t>1 1 1 1 0 0 1:   1</t>
  </si>
  <si>
    <t>0 1 1 1 1 1 1:   1</t>
  </si>
  <si>
    <t>1 1 1 1 1 0 0:  22</t>
  </si>
  <si>
    <t>1 1 1 1 1 1 0:   2</t>
  </si>
  <si>
    <t>1 1 1 2 0 0 0:   1</t>
  </si>
  <si>
    <t>1 1 1 1 1 0 0:  21</t>
  </si>
  <si>
    <t>1 1 1 1 1 0 0:  26</t>
  </si>
  <si>
    <t>1 1 1 1 0 0 0:   6</t>
  </si>
  <si>
    <t>1 1 1 1 0 0 0:   7</t>
  </si>
  <si>
    <t>1 1 1 1 0 0 0:  13</t>
  </si>
  <si>
    <t>1 1 1 0 0 0 0:  28</t>
  </si>
  <si>
    <t>1 1 0 1 0 0 0:   1</t>
  </si>
  <si>
    <t>1 1 0 0 0 0 0:  21</t>
  </si>
  <si>
    <t>1 1 0 0 0 0 0:  16</t>
  </si>
  <si>
    <t>1 1 2 0 0 0 0:   1</t>
  </si>
  <si>
    <t>1 0 0 0 0 0 0:   6</t>
  </si>
  <si>
    <t>1 0 0 0 0 0 0:   5</t>
  </si>
  <si>
    <t>1 1 1 0 0 0 0:  30</t>
  </si>
  <si>
    <t>0 0 0 0 0 0 0:   4</t>
  </si>
  <si>
    <t>0 0 0 0 0 0 0:   2</t>
  </si>
  <si>
    <t>1 0 0 0 0 0 0:   2</t>
  </si>
  <si>
    <t>Total:  329</t>
  </si>
  <si>
    <t>Total:  293</t>
  </si>
  <si>
    <t>Total:  331</t>
  </si>
  <si>
    <t>reach</t>
  </si>
  <si>
    <t>TAGGER A_est</t>
  </si>
  <si>
    <t>TAGGER A_se</t>
  </si>
  <si>
    <t>TAGGER B_est</t>
  </si>
  <si>
    <t>TAGGER B_se</t>
  </si>
  <si>
    <t>TAGGER C_est</t>
  </si>
  <si>
    <t>TAGGER C_se</t>
  </si>
  <si>
    <t>F_statistic</t>
  </si>
  <si>
    <t>p_value</t>
  </si>
  <si>
    <t>Release to Crescent Bar</t>
  </si>
  <si>
    <t>Crescent Bar to Sunland</t>
  </si>
  <si>
    <t>Sunland to Wanapum BRZ</t>
  </si>
  <si>
    <t>Wanapum BRZ to Mattawa</t>
  </si>
  <si>
    <t>Mattawa to Priest BRZ</t>
  </si>
  <si>
    <t>Priest BRZ to Lower Ringold</t>
  </si>
  <si>
    <t>SPP: CHN ; release: PR</t>
  </si>
  <si>
    <t>1 1: 247</t>
  </si>
  <si>
    <t>1 1: 243</t>
  </si>
  <si>
    <t>1 1: 226</t>
  </si>
  <si>
    <t>0 1:   0</t>
  </si>
  <si>
    <t>2 0:   0</t>
  </si>
  <si>
    <t>1 0:   3</t>
  </si>
  <si>
    <t>1 0:   6</t>
  </si>
  <si>
    <t>1 0:   5</t>
  </si>
  <si>
    <t>0 0:  16</t>
  </si>
  <si>
    <t>0 0:  25</t>
  </si>
  <si>
    <t>0 0:  28</t>
  </si>
  <si>
    <t>Total:  266</t>
  </si>
  <si>
    <t>Total:  274</t>
  </si>
  <si>
    <t>Total:  259</t>
  </si>
  <si>
    <t>Release to Lower Ringold</t>
  </si>
  <si>
    <t>SPP: STH ; release: RI</t>
  </si>
  <si>
    <t>1 1 1 1 1 1 1: 238</t>
  </si>
  <si>
    <t>1 1 1 1 1 1 1: 178</t>
  </si>
  <si>
    <t>1 1 1 1 1 1 1: 113</t>
  </si>
  <si>
    <t>1 1 1 1 1 1 0:   3</t>
  </si>
  <si>
    <t>1 1 1 1 1 1 0:   4</t>
  </si>
  <si>
    <t>1 1 1 1 1 0 1:   1</t>
  </si>
  <si>
    <t>1 1 1 1 0 1 0:   1</t>
  </si>
  <si>
    <t>1 1 1 1 1 0 0:  23</t>
  </si>
  <si>
    <t>1 1 1 1 0 0 0:  24</t>
  </si>
  <si>
    <t>1 1 1 1 1 0 0:  19</t>
  </si>
  <si>
    <t>1 1 1 1 0 0 0:  15</t>
  </si>
  <si>
    <t>1 1 1 0 0 0 0:  22</t>
  </si>
  <si>
    <t>1 1 1 0 1 0 0:   1</t>
  </si>
  <si>
    <t>1 1 0 0 0 0 0:  28</t>
  </si>
  <si>
    <t>1 1 1 1 0 0 0:  20</t>
  </si>
  <si>
    <t>1 1 0 0 0 0 0:  25</t>
  </si>
  <si>
    <t>1 1 1 0 0 0 0:  16</t>
  </si>
  <si>
    <t>1 0 0 0 0 0 0:   1</t>
  </si>
  <si>
    <t>0 0 0 0 0 0 0:   1</t>
  </si>
  <si>
    <t>1 1 0 0 0 0 0:  36</t>
  </si>
  <si>
    <t>0 0 0 0 0 0 0:   5</t>
  </si>
  <si>
    <t>Total:  332</t>
  </si>
  <si>
    <t>Total:  282</t>
  </si>
  <si>
    <t>Total:  211</t>
  </si>
  <si>
    <t>SPP: STH ; release: PR</t>
  </si>
  <si>
    <t>1 1: 224</t>
  </si>
  <si>
    <t>1 1: 132</t>
  </si>
  <si>
    <t>1 0:   9</t>
  </si>
  <si>
    <t>1 0:   4</t>
  </si>
  <si>
    <t>0 0:  26</t>
  </si>
  <si>
    <t>0 0:  36</t>
  </si>
  <si>
    <t>Total:  276</t>
  </si>
  <si>
    <t>Total:  172</t>
  </si>
  <si>
    <t>SS</t>
  </si>
  <si>
    <t>meanS</t>
  </si>
  <si>
    <t>k-1</t>
  </si>
  <si>
    <t>numerator</t>
  </si>
  <si>
    <t>sumVar</t>
  </si>
  <si>
    <t>k</t>
  </si>
  <si>
    <t xml:space="preserve"> denom</t>
  </si>
  <si>
    <t>var</t>
  </si>
  <si>
    <t>avg_denom</t>
  </si>
  <si>
    <t>tagger A</t>
  </si>
  <si>
    <t>tagger B</t>
  </si>
  <si>
    <t>tagger C</t>
  </si>
  <si>
    <t>squared diff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</si>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</sst>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C1" zoomScale="85" zoomScaleNormal="85" workbookViewId="0">
      <selection activeCell="Z18" sqref="Z18"/>
    </sheetView>
  </sheetViews>
  <sheetFormatPr defaultColWidth="11.42578125" defaultRowHeight="15" x14ac:dyDescent="0.25"/>
  <cols>
    <col min="1" max="1" width="25.7109375" bestFit="1" customWidth="1"/>
    <col min="2" max="3" width="20.140625" bestFit="1" customWidth="1"/>
    <col min="4" max="4" width="13.42578125" bestFit="1" customWidth="1"/>
    <col min="5" max="5" width="12.5703125" bestFit="1" customWidth="1"/>
    <col min="6" max="6" width="13.42578125" bestFit="1" customWidth="1"/>
    <col min="7" max="7" width="12.5703125" bestFit="1" customWidth="1"/>
    <col min="8" max="9" width="12" bestFit="1" customWidth="1"/>
    <col min="12" max="14" width="12.28515625" bestFit="1" customWidth="1"/>
    <col min="15" max="21" width="12" bestFit="1" customWidth="1"/>
    <col min="23" max="23" width="12.28515625" bestFit="1" customWidth="1"/>
    <col min="24" max="24" width="12" bestFit="1" customWidth="1"/>
  </cols>
  <sheetData>
    <row r="1" spans="1:18" x14ac:dyDescent="0.25">
      <c r="A1" t="s">
        <v>0</v>
      </c>
      <c r="B1" t="s">
        <v>0</v>
      </c>
      <c r="C1" t="s">
        <v>0</v>
      </c>
    </row>
    <row r="2" spans="1:18" x14ac:dyDescent="0.25">
      <c r="A2" t="s">
        <v>1</v>
      </c>
      <c r="B2" t="s">
        <v>2</v>
      </c>
      <c r="C2" t="s">
        <v>3</v>
      </c>
    </row>
    <row r="3" spans="1:18" x14ac:dyDescent="0.25">
      <c r="A3" t="s">
        <v>4</v>
      </c>
      <c r="B3" t="s">
        <v>5</v>
      </c>
      <c r="C3" t="s">
        <v>6</v>
      </c>
    </row>
    <row r="4" spans="1:18" x14ac:dyDescent="0.25">
      <c r="A4" t="s">
        <v>7</v>
      </c>
      <c r="B4" t="s">
        <v>8</v>
      </c>
      <c r="C4" t="s">
        <v>9</v>
      </c>
    </row>
    <row r="5" spans="1:18" x14ac:dyDescent="0.25">
      <c r="A5" t="s">
        <v>10</v>
      </c>
      <c r="B5" t="s">
        <v>11</v>
      </c>
      <c r="C5" t="s">
        <v>11</v>
      </c>
    </row>
    <row r="6" spans="1:18" x14ac:dyDescent="0.25">
      <c r="A6" t="s">
        <v>12</v>
      </c>
      <c r="B6" t="s">
        <v>13</v>
      </c>
      <c r="C6" t="s">
        <v>14</v>
      </c>
    </row>
    <row r="7" spans="1:18" x14ac:dyDescent="0.25">
      <c r="A7" t="s">
        <v>15</v>
      </c>
      <c r="B7" t="s">
        <v>16</v>
      </c>
      <c r="C7" t="s">
        <v>17</v>
      </c>
    </row>
    <row r="8" spans="1:18" x14ac:dyDescent="0.25">
      <c r="A8" t="s">
        <v>18</v>
      </c>
      <c r="B8" t="s">
        <v>18</v>
      </c>
      <c r="C8" t="s">
        <v>19</v>
      </c>
    </row>
    <row r="9" spans="1:18" x14ac:dyDescent="0.25">
      <c r="A9" t="s">
        <v>20</v>
      </c>
      <c r="B9" t="s">
        <v>21</v>
      </c>
      <c r="C9" t="s">
        <v>22</v>
      </c>
    </row>
    <row r="10" spans="1:18" x14ac:dyDescent="0.25">
      <c r="A10" t="s">
        <v>23</v>
      </c>
      <c r="B10" t="s">
        <v>24</v>
      </c>
      <c r="C10" t="s">
        <v>25</v>
      </c>
    </row>
    <row r="11" spans="1:18" x14ac:dyDescent="0.25">
      <c r="A11" t="s">
        <v>26</v>
      </c>
      <c r="B11" t="s">
        <v>27</v>
      </c>
      <c r="C11" t="s">
        <v>20</v>
      </c>
    </row>
    <row r="12" spans="1:18" x14ac:dyDescent="0.25">
      <c r="C12" t="s">
        <v>28</v>
      </c>
    </row>
    <row r="13" spans="1:18" x14ac:dyDescent="0.25">
      <c r="C13" t="s">
        <v>27</v>
      </c>
    </row>
    <row r="14" spans="1:18" x14ac:dyDescent="0.25">
      <c r="A14" t="s">
        <v>29</v>
      </c>
      <c r="B14" t="s">
        <v>30</v>
      </c>
      <c r="C14" t="s">
        <v>31</v>
      </c>
    </row>
    <row r="16" spans="1:18" x14ac:dyDescent="0.25">
      <c r="L16" t="s">
        <v>109</v>
      </c>
      <c r="R16" t="s">
        <v>104</v>
      </c>
    </row>
    <row r="17" spans="1:25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K17" t="s">
        <v>98</v>
      </c>
      <c r="L17" t="s">
        <v>106</v>
      </c>
      <c r="M17" t="s">
        <v>107</v>
      </c>
      <c r="N17" t="s">
        <v>108</v>
      </c>
      <c r="O17" t="s">
        <v>97</v>
      </c>
      <c r="P17" t="s">
        <v>99</v>
      </c>
      <c r="Q17" t="s">
        <v>100</v>
      </c>
      <c r="R17" t="s">
        <v>106</v>
      </c>
      <c r="S17" t="s">
        <v>107</v>
      </c>
      <c r="T17" t="s">
        <v>108</v>
      </c>
      <c r="U17" t="s">
        <v>101</v>
      </c>
      <c r="V17" t="s">
        <v>102</v>
      </c>
      <c r="W17" t="s">
        <v>105</v>
      </c>
      <c r="X17" t="s">
        <v>103</v>
      </c>
      <c r="Y17" t="s">
        <v>110</v>
      </c>
    </row>
    <row r="18" spans="1:25" x14ac:dyDescent="0.25">
      <c r="A18" t="s">
        <v>41</v>
      </c>
      <c r="B18">
        <v>0.98780000000000001</v>
      </c>
      <c r="C18">
        <v>6.0419999999999996E-3</v>
      </c>
      <c r="D18">
        <v>0.99319999999999997</v>
      </c>
      <c r="E18">
        <v>4.81E-3</v>
      </c>
      <c r="F18">
        <v>0.99399999999999999</v>
      </c>
      <c r="G18">
        <v>4.2599999999999999E-3</v>
      </c>
      <c r="H18">
        <v>0.43861981103250303</v>
      </c>
      <c r="I18">
        <v>0.64492592674793603</v>
      </c>
      <c r="K18">
        <f>AVERAGE(B18,D18,F18)</f>
        <v>0.99166666666666659</v>
      </c>
      <c r="L18">
        <f>(B18-$K18)^2</f>
        <v>1.4951111111110394E-5</v>
      </c>
      <c r="M18">
        <f>(D18-$K18)^2</f>
        <v>2.3511111111112743E-6</v>
      </c>
      <c r="N18">
        <f>(F18-$K18)^2</f>
        <v>5.4444444444447996E-6</v>
      </c>
      <c r="O18">
        <f>SUM(L18:N18)</f>
        <v>2.2746666666666467E-5</v>
      </c>
      <c r="P18">
        <v>2</v>
      </c>
      <c r="Q18">
        <f>O18/P18</f>
        <v>1.1373333333333233E-5</v>
      </c>
      <c r="R18">
        <f>(C18^2)</f>
        <v>3.6505763999999993E-5</v>
      </c>
      <c r="S18">
        <f>(E18^2)</f>
        <v>2.31361E-5</v>
      </c>
      <c r="T18">
        <f>(G18^2)</f>
        <v>1.8147599999999999E-5</v>
      </c>
      <c r="U18">
        <f>SUM(R18:T18)</f>
        <v>7.7789463999999999E-5</v>
      </c>
      <c r="V18">
        <v>3</v>
      </c>
      <c r="W18">
        <f>AVERAGE(R18:T18)</f>
        <v>2.5929821333333334E-5</v>
      </c>
      <c r="X18">
        <f>U18/V18</f>
        <v>2.5929821333333334E-5</v>
      </c>
      <c r="Y18">
        <f>Q18/X18</f>
        <v>0.43861981103250308</v>
      </c>
    </row>
    <row r="19" spans="1:25" x14ac:dyDescent="0.25">
      <c r="A19" t="s">
        <v>42</v>
      </c>
      <c r="B19">
        <v>0.98150000000000004</v>
      </c>
      <c r="C19">
        <v>7.4669999999999997E-3</v>
      </c>
      <c r="D19">
        <v>0.98280000000000001</v>
      </c>
      <c r="E19">
        <v>7.6179999999999998E-3</v>
      </c>
      <c r="F19">
        <v>0.99390000000000001</v>
      </c>
      <c r="G19">
        <v>4.2979999999999997E-3</v>
      </c>
      <c r="H19">
        <v>1.05343287826691</v>
      </c>
      <c r="I19">
        <v>0.34873851500751901</v>
      </c>
      <c r="K19">
        <f t="shared" ref="K19:K23" si="0">AVERAGE(B19,D19,F19)</f>
        <v>0.98606666666666676</v>
      </c>
      <c r="L19">
        <f t="shared" ref="L19:L23" si="1">(B19-$K19)^2</f>
        <v>2.0854444444444921E-5</v>
      </c>
      <c r="M19">
        <f t="shared" ref="M19:M23" si="2">(D19-$K19)^2</f>
        <v>1.0671111111111661E-5</v>
      </c>
      <c r="N19">
        <f t="shared" ref="N19:N23" si="3">(F19-$K19)^2</f>
        <v>6.1361111111109772E-5</v>
      </c>
      <c r="O19">
        <f t="shared" ref="O19:O23" si="4">SUM(L19:N19)</f>
        <v>9.2886666666666348E-5</v>
      </c>
      <c r="P19">
        <v>2</v>
      </c>
      <c r="Q19">
        <f t="shared" ref="Q19:Q23" si="5">O19/P19</f>
        <v>4.6443333333333174E-5</v>
      </c>
      <c r="R19">
        <f t="shared" ref="R19:R23" si="6">(C19^2)</f>
        <v>5.5756088999999996E-5</v>
      </c>
      <c r="S19">
        <f t="shared" ref="S19:S23" si="7">(E19^2)</f>
        <v>5.8033923999999999E-5</v>
      </c>
      <c r="T19">
        <f t="shared" ref="T19:T23" si="8">(G19^2)</f>
        <v>1.8472803999999998E-5</v>
      </c>
      <c r="U19">
        <f t="shared" ref="U19:U23" si="9">SUM(R19:T19)</f>
        <v>1.32262817E-4</v>
      </c>
      <c r="V19">
        <v>3</v>
      </c>
      <c r="W19">
        <f t="shared" ref="W19:W23" si="10">AVERAGE(R19:T19)</f>
        <v>4.4087605666666668E-5</v>
      </c>
      <c r="X19">
        <f t="shared" ref="X19:X23" si="11">U19/V19</f>
        <v>4.4087605666666668E-5</v>
      </c>
      <c r="Y19">
        <f t="shared" ref="Y19:Y23" si="12">Q19/X19</f>
        <v>1.0534328782669093</v>
      </c>
    </row>
    <row r="20" spans="1:25" x14ac:dyDescent="0.25">
      <c r="A20" t="s">
        <v>43</v>
      </c>
      <c r="B20">
        <v>0.93420000000000003</v>
      </c>
      <c r="C20">
        <v>1.3885E-2</v>
      </c>
      <c r="D20">
        <v>0.94410000000000005</v>
      </c>
      <c r="E20">
        <v>1.3589E-2</v>
      </c>
      <c r="F20">
        <v>0.93610000000000004</v>
      </c>
      <c r="G20">
        <v>1.3566E-2</v>
      </c>
      <c r="H20">
        <v>0.14748245910667299</v>
      </c>
      <c r="I20">
        <v>0.86287757383210695</v>
      </c>
      <c r="K20">
        <f t="shared" si="0"/>
        <v>0.93813333333333337</v>
      </c>
      <c r="L20">
        <f t="shared" si="1"/>
        <v>1.5471111111111195E-5</v>
      </c>
      <c r="M20">
        <f t="shared" si="2"/>
        <v>3.5601111111111218E-5</v>
      </c>
      <c r="N20">
        <f t="shared" si="3"/>
        <v>4.134444444444437E-6</v>
      </c>
      <c r="O20">
        <f t="shared" si="4"/>
        <v>5.5206666666666844E-5</v>
      </c>
      <c r="P20">
        <v>2</v>
      </c>
      <c r="Q20">
        <f t="shared" si="5"/>
        <v>2.7603333333333422E-5</v>
      </c>
      <c r="R20">
        <f t="shared" si="6"/>
        <v>1.9279322499999999E-4</v>
      </c>
      <c r="S20">
        <f t="shared" si="7"/>
        <v>1.8466092100000002E-4</v>
      </c>
      <c r="T20">
        <f t="shared" si="8"/>
        <v>1.8403635599999998E-4</v>
      </c>
      <c r="U20">
        <f t="shared" si="9"/>
        <v>5.6149050199999994E-4</v>
      </c>
      <c r="V20">
        <v>3</v>
      </c>
      <c r="W20">
        <f t="shared" si="10"/>
        <v>1.8716350066666664E-4</v>
      </c>
      <c r="X20">
        <f t="shared" si="11"/>
        <v>1.8716350066666664E-4</v>
      </c>
      <c r="Y20">
        <f t="shared" si="12"/>
        <v>0.14748245910667299</v>
      </c>
    </row>
    <row r="21" spans="1:25" x14ac:dyDescent="0.25">
      <c r="A21" t="s">
        <v>44</v>
      </c>
      <c r="B21">
        <v>0.90600000000000003</v>
      </c>
      <c r="C21">
        <v>1.6902E-2</v>
      </c>
      <c r="D21">
        <v>0.89629999999999999</v>
      </c>
      <c r="E21">
        <v>1.8554000000000001E-2</v>
      </c>
      <c r="F21">
        <v>0.90129999999999999</v>
      </c>
      <c r="G21">
        <v>1.7104999999999999E-2</v>
      </c>
      <c r="H21">
        <v>7.6519533464556796E-2</v>
      </c>
      <c r="I21">
        <v>0.92633481958372998</v>
      </c>
      <c r="K21">
        <f t="shared" si="0"/>
        <v>0.90119999999999989</v>
      </c>
      <c r="L21">
        <f t="shared" si="1"/>
        <v>2.3040000000001321E-5</v>
      </c>
      <c r="M21">
        <f t="shared" si="2"/>
        <v>2.4009999999999064E-5</v>
      </c>
      <c r="N21">
        <f t="shared" si="3"/>
        <v>1.0000000000020001E-8</v>
      </c>
      <c r="O21">
        <f t="shared" si="4"/>
        <v>4.7060000000000407E-5</v>
      </c>
      <c r="P21">
        <v>2</v>
      </c>
      <c r="Q21">
        <f t="shared" si="5"/>
        <v>2.3530000000000203E-5</v>
      </c>
      <c r="R21">
        <f t="shared" si="6"/>
        <v>2.8567760399999999E-4</v>
      </c>
      <c r="S21">
        <f t="shared" si="7"/>
        <v>3.4425091600000002E-4</v>
      </c>
      <c r="T21">
        <f t="shared" si="8"/>
        <v>2.9258102499999994E-4</v>
      </c>
      <c r="U21">
        <f t="shared" si="9"/>
        <v>9.2250954499999995E-4</v>
      </c>
      <c r="V21">
        <v>3</v>
      </c>
      <c r="W21">
        <f t="shared" si="10"/>
        <v>3.0750318166666667E-4</v>
      </c>
      <c r="X21">
        <f t="shared" si="11"/>
        <v>3.0750318166666667E-4</v>
      </c>
      <c r="Y21">
        <f t="shared" si="12"/>
        <v>7.6519533464556852E-2</v>
      </c>
    </row>
    <row r="22" spans="1:25" x14ac:dyDescent="0.25">
      <c r="A22" t="s">
        <v>45</v>
      </c>
      <c r="B22">
        <v>0.97770000000000001</v>
      </c>
      <c r="C22">
        <v>9.0039999999999999E-3</v>
      </c>
      <c r="D22">
        <v>0.97150000000000003</v>
      </c>
      <c r="E22">
        <v>1.0786E-2</v>
      </c>
      <c r="F22">
        <v>0.94910000000000005</v>
      </c>
      <c r="G22">
        <v>1.3254999999999999E-2</v>
      </c>
      <c r="H22">
        <v>1.8200782532336801</v>
      </c>
      <c r="I22">
        <v>0.16201307239100499</v>
      </c>
      <c r="K22">
        <f t="shared" si="0"/>
        <v>0.96609999999999996</v>
      </c>
      <c r="L22">
        <f t="shared" si="1"/>
        <v>1.3456000000000126E-4</v>
      </c>
      <c r="M22">
        <f t="shared" si="2"/>
        <v>2.9160000000000771E-5</v>
      </c>
      <c r="N22">
        <f t="shared" si="3"/>
        <v>2.8899999999999672E-4</v>
      </c>
      <c r="O22">
        <f t="shared" si="4"/>
        <v>4.5271999999999874E-4</v>
      </c>
      <c r="P22">
        <v>2</v>
      </c>
      <c r="Q22">
        <f t="shared" si="5"/>
        <v>2.2635999999999937E-4</v>
      </c>
      <c r="R22">
        <f t="shared" si="6"/>
        <v>8.1072016000000003E-5</v>
      </c>
      <c r="S22">
        <f t="shared" si="7"/>
        <v>1.1633779600000001E-4</v>
      </c>
      <c r="T22">
        <f t="shared" si="8"/>
        <v>1.7569502499999997E-4</v>
      </c>
      <c r="U22">
        <f t="shared" si="9"/>
        <v>3.7310483699999999E-4</v>
      </c>
      <c r="V22">
        <v>3</v>
      </c>
      <c r="W22">
        <f t="shared" si="10"/>
        <v>1.24368279E-4</v>
      </c>
      <c r="X22">
        <f t="shared" si="11"/>
        <v>1.24368279E-4</v>
      </c>
      <c r="Y22">
        <f t="shared" si="12"/>
        <v>1.8200782532336832</v>
      </c>
    </row>
    <row r="23" spans="1:25" x14ac:dyDescent="0.25">
      <c r="A23" t="s">
        <v>46</v>
      </c>
      <c r="B23">
        <v>0.9163</v>
      </c>
      <c r="C23">
        <v>1.7072E-2</v>
      </c>
      <c r="D23">
        <v>0.9103</v>
      </c>
      <c r="E23">
        <v>1.8685E-2</v>
      </c>
      <c r="F23">
        <v>0.90039999999999998</v>
      </c>
      <c r="G23">
        <v>1.8537999999999999E-2</v>
      </c>
      <c r="H23">
        <v>0.19650697887357399</v>
      </c>
      <c r="I23">
        <v>0.82159559746344202</v>
      </c>
      <c r="K23">
        <f t="shared" si="0"/>
        <v>0.90899999999999992</v>
      </c>
      <c r="L23">
        <f t="shared" si="1"/>
        <v>5.3290000000001226E-5</v>
      </c>
      <c r="M23">
        <f t="shared" si="2"/>
        <v>1.6900000000002051E-6</v>
      </c>
      <c r="N23">
        <f t="shared" si="3"/>
        <v>7.3959999999998987E-5</v>
      </c>
      <c r="O23">
        <f t="shared" si="4"/>
        <v>1.289400000000004E-4</v>
      </c>
      <c r="P23">
        <v>2</v>
      </c>
      <c r="Q23">
        <f t="shared" si="5"/>
        <v>6.4470000000000201E-5</v>
      </c>
      <c r="R23">
        <f t="shared" si="6"/>
        <v>2.9145318400000003E-4</v>
      </c>
      <c r="S23">
        <f t="shared" si="7"/>
        <v>3.4912922500000002E-4</v>
      </c>
      <c r="T23">
        <f t="shared" si="8"/>
        <v>3.4365744399999994E-4</v>
      </c>
      <c r="U23">
        <f t="shared" si="9"/>
        <v>9.842398530000001E-4</v>
      </c>
      <c r="V23">
        <v>3</v>
      </c>
      <c r="W23">
        <f t="shared" si="10"/>
        <v>3.2807995100000005E-4</v>
      </c>
      <c r="X23">
        <f t="shared" si="11"/>
        <v>3.2807995100000005E-4</v>
      </c>
      <c r="Y23">
        <f t="shared" si="12"/>
        <v>0.19650697887357399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/>
  </sheetViews>
  <sheetFormatPr defaultColWidth="11.42578125" defaultRowHeight="15" x14ac:dyDescent="0.25"/>
  <sheetData>
    <row r="1" spans="1:9" x14ac:dyDescent="0.25">
      <c r="A1" t="s">
        <v>47</v>
      </c>
      <c r="B1" t="s">
        <v>47</v>
      </c>
      <c r="C1" t="s">
        <v>47</v>
      </c>
    </row>
    <row r="2" spans="1:9" x14ac:dyDescent="0.25">
      <c r="A2" t="s">
        <v>1</v>
      </c>
      <c r="B2" t="s">
        <v>2</v>
      </c>
      <c r="C2" t="s">
        <v>3</v>
      </c>
    </row>
    <row r="3" spans="1:9" x14ac:dyDescent="0.25">
      <c r="A3" t="s">
        <v>48</v>
      </c>
      <c r="B3" t="s">
        <v>49</v>
      </c>
      <c r="C3" t="s">
        <v>50</v>
      </c>
    </row>
    <row r="4" spans="1:9" x14ac:dyDescent="0.25">
      <c r="A4" t="s">
        <v>51</v>
      </c>
      <c r="B4" t="s">
        <v>51</v>
      </c>
      <c r="C4" t="s">
        <v>51</v>
      </c>
    </row>
    <row r="5" spans="1:9" x14ac:dyDescent="0.25">
      <c r="A5" t="s">
        <v>52</v>
      </c>
      <c r="B5" t="s">
        <v>52</v>
      </c>
      <c r="C5" t="s">
        <v>52</v>
      </c>
    </row>
    <row r="6" spans="1:9" x14ac:dyDescent="0.25">
      <c r="A6" t="s">
        <v>53</v>
      </c>
      <c r="B6" t="s">
        <v>54</v>
      </c>
      <c r="C6" t="s">
        <v>55</v>
      </c>
    </row>
    <row r="7" spans="1:9" x14ac:dyDescent="0.25">
      <c r="A7" t="s">
        <v>56</v>
      </c>
      <c r="B7" t="s">
        <v>57</v>
      </c>
      <c r="C7" t="s">
        <v>58</v>
      </c>
    </row>
    <row r="8" spans="1:9" x14ac:dyDescent="0.25">
      <c r="A8" t="s">
        <v>59</v>
      </c>
      <c r="B8" t="s">
        <v>60</v>
      </c>
      <c r="C8" t="s">
        <v>61</v>
      </c>
    </row>
    <row r="11" spans="1:9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 spans="1:9" x14ac:dyDescent="0.25">
      <c r="A12" t="s">
        <v>62</v>
      </c>
      <c r="B12">
        <v>0.93979999999999997</v>
      </c>
      <c r="C12">
        <v>1.4578000000000001E-2</v>
      </c>
      <c r="D12">
        <v>0.90880000000000005</v>
      </c>
      <c r="E12">
        <v>1.7395999999999998E-2</v>
      </c>
      <c r="F12">
        <v>0.89190000000000003</v>
      </c>
      <c r="G12">
        <v>1.9295E-2</v>
      </c>
      <c r="H12">
        <v>1.99508488457913</v>
      </c>
      <c r="I12">
        <v>0.136002109195062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/>
  </sheetViews>
  <sheetFormatPr defaultColWidth="11.42578125" defaultRowHeight="15" x14ac:dyDescent="0.25"/>
  <sheetData>
    <row r="1" spans="1:9" x14ac:dyDescent="0.25">
      <c r="A1" t="s">
        <v>63</v>
      </c>
      <c r="B1" t="s">
        <v>63</v>
      </c>
      <c r="C1" t="s">
        <v>63</v>
      </c>
    </row>
    <row r="2" spans="1:9" x14ac:dyDescent="0.25">
      <c r="A2" t="s">
        <v>1</v>
      </c>
      <c r="B2" t="s">
        <v>2</v>
      </c>
      <c r="C2" t="s">
        <v>3</v>
      </c>
    </row>
    <row r="3" spans="1:9" x14ac:dyDescent="0.25">
      <c r="A3" t="s">
        <v>64</v>
      </c>
      <c r="B3" t="s">
        <v>65</v>
      </c>
      <c r="C3" t="s">
        <v>66</v>
      </c>
    </row>
    <row r="4" spans="1:9" x14ac:dyDescent="0.25">
      <c r="A4" t="s">
        <v>67</v>
      </c>
      <c r="B4" t="s">
        <v>68</v>
      </c>
      <c r="C4" t="s">
        <v>69</v>
      </c>
    </row>
    <row r="5" spans="1:9" x14ac:dyDescent="0.25">
      <c r="A5" t="s">
        <v>70</v>
      </c>
      <c r="B5" t="s">
        <v>71</v>
      </c>
      <c r="C5" t="s">
        <v>11</v>
      </c>
    </row>
    <row r="6" spans="1:9" x14ac:dyDescent="0.25">
      <c r="A6" t="s">
        <v>10</v>
      </c>
      <c r="B6" t="s">
        <v>72</v>
      </c>
      <c r="C6" t="s">
        <v>73</v>
      </c>
    </row>
    <row r="7" spans="1:9" x14ac:dyDescent="0.25">
      <c r="A7" t="s">
        <v>74</v>
      </c>
      <c r="B7" t="s">
        <v>75</v>
      </c>
      <c r="C7" t="s">
        <v>76</v>
      </c>
    </row>
    <row r="8" spans="1:9" x14ac:dyDescent="0.25">
      <c r="A8" t="s">
        <v>75</v>
      </c>
      <c r="B8" t="s">
        <v>77</v>
      </c>
      <c r="C8" t="s">
        <v>78</v>
      </c>
    </row>
    <row r="9" spans="1:9" x14ac:dyDescent="0.25">
      <c r="A9" t="s">
        <v>79</v>
      </c>
      <c r="B9" t="s">
        <v>28</v>
      </c>
      <c r="C9" t="s">
        <v>80</v>
      </c>
    </row>
    <row r="10" spans="1:9" x14ac:dyDescent="0.25">
      <c r="A10" t="s">
        <v>81</v>
      </c>
      <c r="B10" t="s">
        <v>82</v>
      </c>
      <c r="C10" t="s">
        <v>83</v>
      </c>
    </row>
    <row r="11" spans="1:9" x14ac:dyDescent="0.25">
      <c r="A11" t="s">
        <v>84</v>
      </c>
      <c r="C11" t="s">
        <v>28</v>
      </c>
    </row>
    <row r="12" spans="1:9" x14ac:dyDescent="0.25">
      <c r="C12" t="s">
        <v>82</v>
      </c>
    </row>
    <row r="13" spans="1:9" x14ac:dyDescent="0.25">
      <c r="A13" t="s">
        <v>85</v>
      </c>
      <c r="B13" t="s">
        <v>86</v>
      </c>
      <c r="C13" t="s">
        <v>87</v>
      </c>
    </row>
    <row r="16" spans="1:9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</row>
    <row r="17" spans="1:9" x14ac:dyDescent="0.25">
      <c r="A17" t="s">
        <v>41</v>
      </c>
      <c r="B17">
        <v>0.9849</v>
      </c>
      <c r="C17">
        <v>6.6839999999999998E-3</v>
      </c>
      <c r="D17">
        <v>0.99650000000000005</v>
      </c>
      <c r="E17">
        <v>3.5400000000000002E-3</v>
      </c>
      <c r="F17">
        <v>0.99529999999999996</v>
      </c>
      <c r="G17">
        <v>4.7280000000000004E-3</v>
      </c>
      <c r="H17">
        <v>1.5344116446359</v>
      </c>
      <c r="I17">
        <v>0.21558249297997301</v>
      </c>
    </row>
    <row r="18" spans="1:9" x14ac:dyDescent="0.25">
      <c r="A18" t="s">
        <v>42</v>
      </c>
      <c r="B18">
        <v>0.99690000000000001</v>
      </c>
      <c r="C18">
        <v>3.0530000000000002E-3</v>
      </c>
      <c r="D18">
        <v>0.9929</v>
      </c>
      <c r="E18">
        <v>5.0150000000000004E-3</v>
      </c>
      <c r="F18">
        <v>0.99050000000000005</v>
      </c>
      <c r="G18">
        <v>6.7019999999999996E-3</v>
      </c>
      <c r="H18">
        <v>0.39502272375775799</v>
      </c>
      <c r="I18">
        <v>0.67366473088078205</v>
      </c>
    </row>
    <row r="19" spans="1:9" x14ac:dyDescent="0.25">
      <c r="A19" t="s">
        <v>43</v>
      </c>
      <c r="B19">
        <v>0.92330000000000001</v>
      </c>
      <c r="C19">
        <v>1.4737999999999999E-2</v>
      </c>
      <c r="D19">
        <v>0.89959999999999996</v>
      </c>
      <c r="E19">
        <v>1.7989000000000002E-2</v>
      </c>
      <c r="F19">
        <v>0.82689999999999997</v>
      </c>
      <c r="G19">
        <v>2.6231000000000001E-2</v>
      </c>
      <c r="H19">
        <v>6.1600657053277299</v>
      </c>
      <c r="I19">
        <v>2.1121144899986502E-3</v>
      </c>
    </row>
    <row r="20" spans="1:9" x14ac:dyDescent="0.25">
      <c r="A20" t="s">
        <v>44</v>
      </c>
      <c r="B20">
        <v>0.92689999999999995</v>
      </c>
      <c r="C20">
        <v>1.5003000000000001E-2</v>
      </c>
      <c r="D20">
        <v>0.91239999999999999</v>
      </c>
      <c r="E20">
        <v>1.7849E-2</v>
      </c>
      <c r="F20">
        <v>0.90780000000000005</v>
      </c>
      <c r="G20">
        <v>2.2186000000000001E-2</v>
      </c>
      <c r="H20">
        <v>0.28778001936616099</v>
      </c>
      <c r="I20">
        <v>0.74992654341169696</v>
      </c>
    </row>
    <row r="21" spans="1:9" x14ac:dyDescent="0.25">
      <c r="A21" t="s">
        <v>45</v>
      </c>
      <c r="B21">
        <v>0.9466</v>
      </c>
      <c r="C21">
        <v>1.3512E-2</v>
      </c>
      <c r="D21">
        <v>0.8952</v>
      </c>
      <c r="E21">
        <v>2.0240999999999999E-2</v>
      </c>
      <c r="F21">
        <v>0.871</v>
      </c>
      <c r="G21">
        <v>2.6927E-2</v>
      </c>
      <c r="H21">
        <v>3.39433638333275</v>
      </c>
      <c r="I21">
        <v>3.3562819629973498E-2</v>
      </c>
    </row>
    <row r="22" spans="1:9" x14ac:dyDescent="0.25">
      <c r="A22" t="s">
        <v>46</v>
      </c>
      <c r="B22">
        <v>0.9163</v>
      </c>
      <c r="C22">
        <v>1.7072E-2</v>
      </c>
      <c r="D22">
        <v>0.88780000000000003</v>
      </c>
      <c r="E22">
        <v>2.2043E-2</v>
      </c>
      <c r="F22">
        <v>0.85309999999999997</v>
      </c>
      <c r="G22">
        <v>3.0374000000000002E-2</v>
      </c>
      <c r="H22">
        <v>1.7678936571266399</v>
      </c>
      <c r="I22">
        <v>0.170692146624465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defaultColWidth="11.42578125" defaultRowHeight="15" x14ac:dyDescent="0.25"/>
  <sheetData>
    <row r="1" spans="1:9" x14ac:dyDescent="0.25">
      <c r="A1" t="s">
        <v>88</v>
      </c>
      <c r="B1" t="s">
        <v>88</v>
      </c>
      <c r="C1" t="s">
        <v>88</v>
      </c>
    </row>
    <row r="2" spans="1:9" x14ac:dyDescent="0.25">
      <c r="A2" t="s">
        <v>1</v>
      </c>
      <c r="B2" t="s">
        <v>2</v>
      </c>
      <c r="C2" t="s">
        <v>3</v>
      </c>
    </row>
    <row r="3" spans="1:9" x14ac:dyDescent="0.25">
      <c r="A3" t="s">
        <v>89</v>
      </c>
      <c r="B3" t="s">
        <v>49</v>
      </c>
      <c r="C3" t="s">
        <v>90</v>
      </c>
    </row>
    <row r="4" spans="1:9" x14ac:dyDescent="0.25">
      <c r="A4" t="s">
        <v>51</v>
      </c>
      <c r="B4" t="s">
        <v>51</v>
      </c>
      <c r="C4" t="s">
        <v>51</v>
      </c>
    </row>
    <row r="5" spans="1:9" x14ac:dyDescent="0.25">
      <c r="A5" t="s">
        <v>52</v>
      </c>
      <c r="B5" t="s">
        <v>52</v>
      </c>
      <c r="C5" t="s">
        <v>52</v>
      </c>
    </row>
    <row r="6" spans="1:9" x14ac:dyDescent="0.25">
      <c r="A6" t="s">
        <v>91</v>
      </c>
      <c r="B6" t="s">
        <v>55</v>
      </c>
      <c r="C6" t="s">
        <v>92</v>
      </c>
    </row>
    <row r="7" spans="1:9" x14ac:dyDescent="0.25">
      <c r="A7" t="s">
        <v>93</v>
      </c>
      <c r="B7" t="s">
        <v>58</v>
      </c>
      <c r="C7" t="s">
        <v>94</v>
      </c>
    </row>
    <row r="8" spans="1:9" x14ac:dyDescent="0.25">
      <c r="A8" t="s">
        <v>61</v>
      </c>
      <c r="B8" t="s">
        <v>95</v>
      </c>
      <c r="C8" t="s">
        <v>96</v>
      </c>
    </row>
    <row r="11" spans="1:9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 spans="1:9" x14ac:dyDescent="0.25">
      <c r="A12" t="s">
        <v>62</v>
      </c>
      <c r="B12">
        <v>0.89959999999999996</v>
      </c>
      <c r="C12">
        <v>1.8672999999999999E-2</v>
      </c>
      <c r="D12">
        <v>0.89859999999999995</v>
      </c>
      <c r="E12">
        <v>1.8173999999999999E-2</v>
      </c>
      <c r="F12">
        <v>0.79069999999999996</v>
      </c>
      <c r="G12">
        <v>3.1019000000000001E-2</v>
      </c>
      <c r="H12">
        <v>7.1603963476992503</v>
      </c>
      <c r="I12">
        <v>7.7674663045949302E-4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CHN_RI</vt:lpstr>
      <vt:lpstr>CHN_PR</vt:lpstr>
      <vt:lpstr>STH_RI</vt:lpstr>
      <vt:lpstr>STH_PR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swhit</dc:creator>
  <cp:lastModifiedBy>Steven L. Whitlock</cp:lastModifiedBy>
  <dcterms:created xsi:type="dcterms:W3CDTF">2026-09-21T19:24:25Z</dcterms:created>
  <dcterms:modified xsi:type="dcterms:W3CDTF">2026-09-21T20:42:45Z</dcterms:modified>
</cp:coreProperties>
</file>